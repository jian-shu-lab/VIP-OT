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ll/Partners HealthCare Dropbox/Jianhuan Qi/VIPOT revision_Jill/Data_Experiment 4_Combo_Cell Viability/"/>
    </mc:Choice>
  </mc:AlternateContent>
  <xr:revisionPtr revIDLastSave="0" documentId="13_ncr:1_{3CC03B24-094B-1945-9061-99AF4B62330A}" xr6:coauthVersionLast="47" xr6:coauthVersionMax="47" xr10:uidLastSave="{00000000-0000-0000-0000-000000000000}"/>
  <bookViews>
    <workbookView xWindow="380" yWindow="500" windowWidth="28040" windowHeight="16060" xr2:uid="{1528F750-7589-164F-B7FD-848FD6308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C16" i="1"/>
  <c r="D16" i="1"/>
  <c r="C15" i="1"/>
  <c r="D15" i="1"/>
  <c r="B17" i="1"/>
  <c r="B16" i="1"/>
  <c r="B15" i="1"/>
  <c r="C14" i="1"/>
  <c r="D14" i="1"/>
  <c r="B14" i="1"/>
  <c r="C11" i="1"/>
  <c r="D11" i="1"/>
  <c r="B11" i="1"/>
  <c r="C10" i="1"/>
  <c r="D10" i="1"/>
  <c r="B10" i="1"/>
  <c r="C9" i="1"/>
  <c r="D9" i="1"/>
  <c r="B9" i="1"/>
  <c r="C8" i="1"/>
  <c r="D8" i="1"/>
  <c r="B8" i="1"/>
  <c r="E2" i="1"/>
</calcChain>
</file>

<file path=xl/sharedStrings.xml><?xml version="1.0" encoding="utf-8"?>
<sst xmlns="http://schemas.openxmlformats.org/spreadsheetml/2006/main" count="16" uniqueCount="8">
  <si>
    <t>Ctrl</t>
  </si>
  <si>
    <t>Fluorescense 560/590</t>
  </si>
  <si>
    <t>%</t>
  </si>
  <si>
    <t xml:space="preserve">Cell viability </t>
  </si>
  <si>
    <t>Combo</t>
  </si>
  <si>
    <t>B</t>
  </si>
  <si>
    <t>G</t>
  </si>
  <si>
    <t>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</si>
</sst>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3CC0-82E2-B447-A24B-72F49A6926D8}">
  <dimension ref="A1:E17"/>
  <sheetViews>
    <sheetView tabSelected="1" zoomScale="114" workbookViewId="0">
      <selection activeCell="G26" sqref="G26"/>
    </sheetView>
  </sheetViews>
  <sheetFormatPr baseColWidth="10" defaultRowHeight="16" x14ac:dyDescent="0.2"/>
  <cols>
    <col min="1" max="1" width="23.1640625" customWidth="1"/>
  </cols>
  <sheetData>
    <row r="1" spans="1:5" x14ac:dyDescent="0.2">
      <c r="A1" t="s">
        <v>1</v>
      </c>
      <c r="E1" t="s">
        <v>7</v>
      </c>
    </row>
    <row r="2" spans="1:5" x14ac:dyDescent="0.2">
      <c r="A2" t="s">
        <v>0</v>
      </c>
      <c r="B2">
        <v>38925</v>
      </c>
      <c r="C2">
        <v>39326</v>
      </c>
      <c r="D2">
        <v>40982</v>
      </c>
      <c r="E2">
        <f>AVERAGE(B2:D2)</f>
        <v>39744.333333333336</v>
      </c>
    </row>
    <row r="3" spans="1:5" x14ac:dyDescent="0.2">
      <c r="A3" t="s">
        <v>5</v>
      </c>
      <c r="B3">
        <v>27589</v>
      </c>
      <c r="C3">
        <v>25649</v>
      </c>
      <c r="D3">
        <v>28788</v>
      </c>
    </row>
    <row r="4" spans="1:5" x14ac:dyDescent="0.2">
      <c r="A4" t="s">
        <v>6</v>
      </c>
      <c r="B4">
        <v>23726</v>
      </c>
      <c r="C4">
        <v>13543</v>
      </c>
      <c r="D4">
        <v>11257</v>
      </c>
    </row>
    <row r="5" spans="1:5" x14ac:dyDescent="0.2">
      <c r="A5" t="s">
        <v>4</v>
      </c>
      <c r="B5">
        <v>3379</v>
      </c>
      <c r="C5">
        <v>4929</v>
      </c>
      <c r="D5">
        <v>4161</v>
      </c>
    </row>
    <row r="7" spans="1:5" x14ac:dyDescent="0.2">
      <c r="A7" t="s">
        <v>3</v>
      </c>
    </row>
    <row r="8" spans="1:5" x14ac:dyDescent="0.2">
      <c r="A8" t="s">
        <v>0</v>
      </c>
      <c r="B8">
        <f>B2/39744.333</f>
        <v>0.97938491004491135</v>
      </c>
      <c r="C8">
        <f t="shared" ref="C8:D8" si="0">C2/39744.333</f>
        <v>0.98947439877780818</v>
      </c>
      <c r="D8">
        <f t="shared" si="0"/>
        <v>1.0311407163381003</v>
      </c>
    </row>
    <row r="9" spans="1:5" x14ac:dyDescent="0.2">
      <c r="A9" t="s">
        <v>5</v>
      </c>
      <c r="B9">
        <f>B3/39744.333</f>
        <v>0.69416185698725907</v>
      </c>
      <c r="C9">
        <f t="shared" ref="C9:D9" si="1">C3/39744.333</f>
        <v>0.6453498666086559</v>
      </c>
      <c r="D9">
        <f t="shared" si="1"/>
        <v>0.7243296799068184</v>
      </c>
    </row>
    <row r="10" spans="1:5" x14ac:dyDescent="0.2">
      <c r="A10" t="s">
        <v>6</v>
      </c>
      <c r="B10">
        <f>B4/39744.333</f>
        <v>0.59696561016636007</v>
      </c>
      <c r="C10">
        <f t="shared" ref="C10:D10" si="2">C4/39744.333</f>
        <v>0.34075298231825907</v>
      </c>
      <c r="D10">
        <f t="shared" si="2"/>
        <v>0.28323534829481223</v>
      </c>
    </row>
    <row r="11" spans="1:5" x14ac:dyDescent="0.2">
      <c r="A11" t="s">
        <v>4</v>
      </c>
      <c r="B11">
        <f>B5/39744.333</f>
        <v>8.5018410046030973E-2</v>
      </c>
      <c r="C11">
        <f t="shared" ref="C11:D11" si="3">C5/39744.333</f>
        <v>0.12401768070934792</v>
      </c>
      <c r="D11">
        <f t="shared" si="3"/>
        <v>0.10469417111616894</v>
      </c>
    </row>
    <row r="13" spans="1:5" x14ac:dyDescent="0.2">
      <c r="A13" t="s">
        <v>2</v>
      </c>
    </row>
    <row r="14" spans="1:5" x14ac:dyDescent="0.2">
      <c r="A14" t="s">
        <v>0</v>
      </c>
      <c r="B14">
        <f>B8*100</f>
        <v>97.938491004491141</v>
      </c>
      <c r="C14">
        <f t="shared" ref="C14:D14" si="4">C8*100</f>
        <v>98.947439877780823</v>
      </c>
      <c r="D14">
        <f t="shared" si="4"/>
        <v>103.11407163381003</v>
      </c>
    </row>
    <row r="15" spans="1:5" x14ac:dyDescent="0.2">
      <c r="A15" t="s">
        <v>5</v>
      </c>
      <c r="B15">
        <f>B9*100</f>
        <v>69.416185698725911</v>
      </c>
      <c r="C15">
        <f t="shared" ref="C15:D15" si="5">C9*100</f>
        <v>64.534986660865584</v>
      </c>
      <c r="D15">
        <f t="shared" si="5"/>
        <v>72.432967990681846</v>
      </c>
    </row>
    <row r="16" spans="1:5" x14ac:dyDescent="0.2">
      <c r="A16" t="s">
        <v>6</v>
      </c>
      <c r="B16">
        <f>B10*100</f>
        <v>59.696561016636011</v>
      </c>
      <c r="C16">
        <f t="shared" ref="C16:D16" si="6">C10*100</f>
        <v>34.075298231825904</v>
      </c>
      <c r="D16">
        <f t="shared" si="6"/>
        <v>28.323534829481222</v>
      </c>
    </row>
    <row r="17" spans="1:4" x14ac:dyDescent="0.2">
      <c r="A17" t="s">
        <v>4</v>
      </c>
      <c r="B17">
        <f>B11*100</f>
        <v>8.5018410046030972</v>
      </c>
      <c r="C17">
        <f t="shared" ref="C17:D17" si="7">C11*100</f>
        <v>12.401768070934791</v>
      </c>
      <c r="D17">
        <f t="shared" si="7"/>
        <v>10.469417111616893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Qi, Jianhuan</dc:creator>
  <cp:lastModifiedBy>Qi, Jianhuan</cp:lastModifiedBy>
  <dcterms:created xsi:type="dcterms:W3CDTF">2026-04-13T01:05:16Z</dcterms:created>
  <dcterms:modified xsi:type="dcterms:W3CDTF">2026-04-25T23:06:05Z</dcterms:modified>
</cp:coreProperties>
</file>